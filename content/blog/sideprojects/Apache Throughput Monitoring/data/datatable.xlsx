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【專案】Home Lab Infrastructure Monitoring with Zabbix\"/>
    </mc:Choice>
  </mc:AlternateContent>
  <xr:revisionPtr revIDLastSave="0" documentId="13_ncr:1_{AD1A74A4-3F67-40F0-8AC0-8FDB603BF9E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B27" i="2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B10" i="2"/>
  <c r="F9" i="2"/>
  <c r="B9" i="2"/>
  <c r="F8" i="2"/>
  <c r="B8" i="2"/>
  <c r="F7" i="2"/>
  <c r="B7" i="2"/>
  <c r="F6" i="2"/>
  <c r="B6" i="2"/>
  <c r="F5" i="2"/>
  <c r="B5" i="2"/>
  <c r="F4" i="2"/>
  <c r="B4" i="2"/>
  <c r="F3" i="2"/>
  <c r="B3" i="2"/>
</calcChain>
</file>

<file path=xl/sharedStrings.xml><?xml version="1.0" encoding="utf-8"?>
<sst xmlns="http://schemas.openxmlformats.org/spreadsheetml/2006/main" count="44" uniqueCount="44">
  <si>
    <t>Users</t>
  </si>
  <si>
    <t>CPU Avg</t>
    <phoneticPr fontId="3"/>
  </si>
  <si>
    <t>Average</t>
  </si>
  <si>
    <t>Median</t>
  </si>
  <si>
    <t>90% Line</t>
  </si>
  <si>
    <t>95% Line</t>
  </si>
  <si>
    <t>99% Line</t>
  </si>
  <si>
    <t>Max</t>
  </si>
  <si>
    <t>Error %</t>
  </si>
  <si>
    <t>Throughput</t>
    <phoneticPr fontId="4"/>
  </si>
  <si>
    <t>BusyWorkers Avg</t>
    <phoneticPr fontId="3"/>
  </si>
  <si>
    <t>IdleWorkers Avg</t>
    <phoneticPr fontId="3"/>
  </si>
  <si>
    <t>Processes Avg</t>
    <phoneticPr fontId="3"/>
  </si>
  <si>
    <t>Context Switch</t>
  </si>
  <si>
    <t>Run Queue</t>
  </si>
  <si>
    <t>#1</t>
    <phoneticPr fontId="3"/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</si>
  <si>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</si>
  <si>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</si>
  <si>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</si>
  <si>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</si>
  <si>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</si>
  <si>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</si>
  <si>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</si>
  <si>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</si>
  <si>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</si>
  <si>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</si>
  <si>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</si>
  <si>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</si>
  <si>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</si>
  <si>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</si>
  <si>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</si>
  <si>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</si>
  <si>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</si>
  <si>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</si>
  <si>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</si>
  <si>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</si>
  <si>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</si>
  <si>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</si>
  <si>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</si>
  <si>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</si>
  <si>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負荷開始時間</t>
    <rPh sb="0" eb="2">
      <t>フカ</t>
    </rPh>
    <phoneticPr fontId="3"/>
  </si>
  <si>
    <t>負荷開始後30秒</t>
    <rPh sb="0" eb="2">
      <t>フカ</t>
    </rPh>
    <phoneticPr fontId="3"/>
  </si>
  <si>
    <t>負荷終了時間</t>
    <rPh sb="0" eb="2">
      <t>フカ</t>
    </rPh>
    <rPh sb="2" eb="4">
      <t>シュウリョウ</t>
    </rPh>
    <phoneticPr fontId="3"/>
  </si>
  <si>
    <t>Test No.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</si>
</sst>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/>
    <xf numFmtId="10" fontId="2" fillId="0" borderId="0" xfId="1" applyNumberFormat="1" applyFont="1" applyAlignment="1"/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/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2">
    <cellStyle name="一般" xfId="0" builtinId="0"/>
    <cellStyle name="百分比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2" formatCode="0.00"/>
      <alignment horizontal="right" vertical="bottom" textRotation="0" wrapText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176" formatCode="h:mm:ss;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176" formatCode="h:mm:ss;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176" formatCode="h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AAAC4-1543-4B4D-AD19-88B410F5B499}" name="表格5" displayName="表格5" ref="A2:S27" totalsRowShown="0" headerRowDxfId="1" dataDxfId="0">
  <autoFilter ref="A2:S27" xr:uid="{82B2AEC1-4947-4D82-9E63-6BD17276B242}"/>
  <tableColumns count="19">
    <tableColumn id="1" xr3:uid="{94566767-3ED7-41AB-ACCD-BE4064E08348}" name="負荷開始時間" dataDxfId="20"/>
    <tableColumn id="2" xr3:uid="{CD185E92-54B3-41C3-A1BA-9FFE7C0461EB}" name="負荷開始後30秒" dataDxfId="19">
      <calculatedColumnFormula>A3+TIME(0,0,30)</calculatedColumnFormula>
    </tableColumn>
    <tableColumn id="3" xr3:uid="{909510EE-46D3-43B5-96A2-6D1691A13EB8}" name="負荷終了時間" dataDxfId="18"/>
    <tableColumn id="4" xr3:uid="{9D26176D-06B6-4616-B606-C615F9AA5FF0}" name="Test No." dataDxfId="17"/>
    <tableColumn id="5" xr3:uid="{8FB1C802-1F22-4736-943D-DF2FC73F6907}" name="Users" dataDxfId="16"/>
    <tableColumn id="6" xr3:uid="{D79B3E1D-6C0D-4AD7-841F-3475702E2321}" name="CPU Avg" dataDxfId="15">
      <calculatedColumnFormula>(100-81.42213793)/100</calculatedColumnFormula>
    </tableColumn>
    <tableColumn id="7" xr3:uid="{B3C52191-3941-43EF-8F2C-2543229D98D5}" name="Average" dataDxfId="14"/>
    <tableColumn id="8" xr3:uid="{4FA8A649-E3FE-40C4-90B1-36196953FCF2}" name="Median" dataDxfId="13"/>
    <tableColumn id="16" xr3:uid="{AD4B9690-08A6-4BD7-83F4-917F88150BBF}" name="90% Line" dataDxfId="12"/>
    <tableColumn id="15" xr3:uid="{6BBAEA8B-F9BD-4A84-8041-A6DFDC6AC7BA}" name="95% Line" dataDxfId="11"/>
    <tableColumn id="21" xr3:uid="{9DFF2CB6-88AC-42E7-9BA7-A6F16679961A}" name="99% Line" dataDxfId="10"/>
    <tableColumn id="19" xr3:uid="{A8483E6E-49C6-4946-B727-37EF2E2D5155}" name="Max" dataDxfId="9"/>
    <tableColumn id="18" xr3:uid="{BAD05562-E0BB-4C2D-9E54-E4F841320508}" name="Error %" dataDxfId="8"/>
    <tableColumn id="17" xr3:uid="{DD7EBF45-785E-4265-99E6-AC1CC6595F57}" name="Throughput" dataDxfId="7"/>
    <tableColumn id="9" xr3:uid="{F195EA4F-BF1E-4D43-9D3A-468FACBF83C2}" name="BusyWorkers Avg" dataDxfId="6"/>
    <tableColumn id="11" xr3:uid="{A58150EC-7812-4BA9-A706-AFD0019F18AD}" name="IdleWorkers Avg" dataDxfId="5"/>
    <tableColumn id="10" xr3:uid="{0B21BF94-5859-4D6D-9144-63F78448798D}" name="Processes Avg" dataDxfId="4"/>
    <tableColumn id="12" xr3:uid="{8555DF02-9B36-4491-9584-321C0C3F6345}" name="Context Switch" dataDxfId="3"/>
    <tableColumn id="13" xr3:uid="{BD8ED5B2-9F52-4BF0-8FE5-E033BFF6A48E}" name="Run Que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E4F9-D638-4373-9D42-A54334A172B8}">
  <dimension ref="A2:X38"/>
  <sheetViews>
    <sheetView tabSelected="1" zoomScale="115" zoomScaleNormal="115" zoomScalePageLayoutView="103" workbookViewId="0">
      <pane xSplit="5" topLeftCell="F1" activePane="topRight" state="frozen"/>
      <selection pane="topRight"/>
    </sheetView>
  </sheetViews>
  <sheetFormatPr defaultRowHeight="13"/>
  <cols>
    <col min="1" max="1" width="12.88671875" style="12" bestFit="1" customWidth="1"/>
    <col min="2" max="2" width="14.94140625" style="12" bestFit="1" customWidth="1"/>
    <col min="3" max="3" width="12.88671875" style="12" bestFit="1" customWidth="1"/>
    <col min="4" max="6" width="13.77734375" style="12" customWidth="1"/>
    <col min="7" max="7" width="10.0546875" style="12" bestFit="1" customWidth="1"/>
    <col min="8" max="8" width="9.0546875" style="12" bestFit="1" customWidth="1"/>
    <col min="9" max="11" width="11.0546875" style="12" bestFit="1" customWidth="1"/>
    <col min="12" max="12" width="7" style="12" bestFit="1" customWidth="1"/>
    <col min="13" max="13" width="10.0546875" style="12" bestFit="1" customWidth="1"/>
    <col min="14" max="14" width="13.109375" style="12" bestFit="1" customWidth="1"/>
    <col min="15" max="16" width="20.44140625" style="12" bestFit="1" customWidth="1"/>
    <col min="17" max="17" width="18.33203125" style="12" bestFit="1" customWidth="1"/>
    <col min="18" max="18" width="19.38671875" style="12" bestFit="1" customWidth="1"/>
    <col min="19" max="19" width="13.77734375" style="12" customWidth="1"/>
    <col min="20" max="20" width="15.609375" style="12" customWidth="1"/>
    <col min="21" max="21" width="13.77734375" style="12" customWidth="1"/>
    <col min="22" max="16384" width="8.88671875" style="12"/>
  </cols>
  <sheetData>
    <row r="2" spans="1:21" s="1" customFormat="1">
      <c r="A2" s="1" t="s">
        <v>40</v>
      </c>
      <c r="B2" s="1" t="s">
        <v>41</v>
      </c>
      <c r="C2" s="1" t="s">
        <v>42</v>
      </c>
      <c r="D2" s="1" t="s">
        <v>43</v>
      </c>
      <c r="E2" s="1" t="s">
        <v>0</v>
      </c>
      <c r="F2" s="1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</row>
    <row r="3" spans="1:21">
      <c r="A3" s="3">
        <v>0.53493408564814815</v>
      </c>
      <c r="B3" s="3">
        <f>A3+TIME(0,0,30)</f>
        <v>0.53528130787037043</v>
      </c>
      <c r="C3" s="3">
        <v>0.53701738425925927</v>
      </c>
      <c r="D3" s="4" t="s">
        <v>15</v>
      </c>
      <c r="E3" s="5">
        <v>5</v>
      </c>
      <c r="F3" s="6">
        <f t="shared" ref="F3" si="0">(100-81.42213793)/100</f>
        <v>0.18577862069999995</v>
      </c>
      <c r="G3" s="7">
        <v>0</v>
      </c>
      <c r="H3" s="7">
        <v>1</v>
      </c>
      <c r="I3" s="7">
        <v>2</v>
      </c>
      <c r="J3" s="7">
        <v>2</v>
      </c>
      <c r="K3" s="7">
        <v>3</v>
      </c>
      <c r="L3" s="7">
        <v>16</v>
      </c>
      <c r="M3" s="8">
        <v>0</v>
      </c>
      <c r="N3" s="9">
        <v>4714.0190400000001</v>
      </c>
      <c r="O3" s="10">
        <v>3.3125</v>
      </c>
      <c r="P3" s="10">
        <v>96.6875</v>
      </c>
      <c r="Q3" s="10">
        <v>4</v>
      </c>
      <c r="R3" s="11">
        <v>47304.273970000002</v>
      </c>
      <c r="S3" s="10">
        <v>3.1780821920000002</v>
      </c>
    </row>
    <row r="4" spans="1:21">
      <c r="A4" s="3">
        <v>0.54819379629629639</v>
      </c>
      <c r="B4" s="3">
        <f t="shared" ref="B4:B27" si="1">A4+TIME(0,0,30)</f>
        <v>0.54854101851851866</v>
      </c>
      <c r="C4" s="3">
        <v>0.55027709490740739</v>
      </c>
      <c r="D4" s="4" t="s">
        <v>16</v>
      </c>
      <c r="E4" s="5">
        <v>10</v>
      </c>
      <c r="F4" s="6">
        <f>(100-67.30439189)/100</f>
        <v>0.32695608109999996</v>
      </c>
      <c r="G4" s="7">
        <v>1</v>
      </c>
      <c r="H4" s="7">
        <v>1</v>
      </c>
      <c r="I4" s="7">
        <v>2</v>
      </c>
      <c r="J4" s="7">
        <v>2</v>
      </c>
      <c r="K4" s="7">
        <v>2</v>
      </c>
      <c r="L4" s="7">
        <v>24</v>
      </c>
      <c r="M4" s="8">
        <v>0</v>
      </c>
      <c r="N4" s="9">
        <v>9034.2892699999993</v>
      </c>
      <c r="O4" s="10">
        <v>5.8287671230000004</v>
      </c>
      <c r="P4" s="10">
        <v>94.171232880000005</v>
      </c>
      <c r="Q4" s="10">
        <v>4</v>
      </c>
      <c r="R4" s="11">
        <v>86387.391889999999</v>
      </c>
      <c r="S4" s="10">
        <v>6.6283783779999998</v>
      </c>
    </row>
    <row r="5" spans="1:21">
      <c r="A5" s="3">
        <v>0.55388590277777772</v>
      </c>
      <c r="B5" s="3">
        <f t="shared" si="1"/>
        <v>0.55423312499999999</v>
      </c>
      <c r="C5" s="3">
        <v>0.55596917824074077</v>
      </c>
      <c r="D5" s="4" t="s">
        <v>17</v>
      </c>
      <c r="E5" s="5">
        <v>15</v>
      </c>
      <c r="F5" s="6">
        <f>(100-57.22828571)/100</f>
        <v>0.42771714289999996</v>
      </c>
      <c r="G5" s="7">
        <v>1</v>
      </c>
      <c r="H5" s="7">
        <v>1</v>
      </c>
      <c r="I5" s="7">
        <v>2</v>
      </c>
      <c r="J5" s="7">
        <v>2</v>
      </c>
      <c r="K5" s="7">
        <v>3</v>
      </c>
      <c r="L5" s="7">
        <v>44</v>
      </c>
      <c r="M5" s="8">
        <v>0</v>
      </c>
      <c r="N5" s="9">
        <v>10927.35081</v>
      </c>
      <c r="O5" s="10">
        <v>7.992805755</v>
      </c>
      <c r="P5" s="10">
        <v>92.007194240000004</v>
      </c>
      <c r="Q5" s="10">
        <v>4</v>
      </c>
      <c r="R5" s="11">
        <v>100430.9362</v>
      </c>
      <c r="S5" s="10">
        <v>10.780141840000001</v>
      </c>
    </row>
    <row r="6" spans="1:21">
      <c r="A6" s="3">
        <v>0.55769591435185184</v>
      </c>
      <c r="B6" s="3">
        <f t="shared" si="1"/>
        <v>0.55804313657407412</v>
      </c>
      <c r="C6" s="3">
        <v>0.5597792245370371</v>
      </c>
      <c r="D6" s="4" t="s">
        <v>18</v>
      </c>
      <c r="E6" s="5">
        <v>20</v>
      </c>
      <c r="F6" s="6">
        <f>(100-52.00141844)/100</f>
        <v>0.47998581559999998</v>
      </c>
      <c r="G6" s="7">
        <v>1</v>
      </c>
      <c r="H6" s="7">
        <v>2</v>
      </c>
      <c r="I6" s="7">
        <v>2</v>
      </c>
      <c r="J6" s="7">
        <v>3</v>
      </c>
      <c r="K6" s="7">
        <v>4</v>
      </c>
      <c r="L6" s="7">
        <v>75</v>
      </c>
      <c r="M6" s="8">
        <v>0</v>
      </c>
      <c r="N6" s="9">
        <v>11226.238890000001</v>
      </c>
      <c r="O6" s="10">
        <v>9.8111888109999992</v>
      </c>
      <c r="P6" s="10">
        <v>90.188811189999996</v>
      </c>
      <c r="Q6" s="10">
        <v>4</v>
      </c>
      <c r="R6" s="13">
        <v>93014.917239999995</v>
      </c>
      <c r="S6" s="10">
        <v>12.151724140000001</v>
      </c>
    </row>
    <row r="7" spans="1:21">
      <c r="A7" s="3">
        <v>0.56141623842592592</v>
      </c>
      <c r="B7" s="3">
        <f t="shared" si="1"/>
        <v>0.56176346064814819</v>
      </c>
      <c r="C7" s="3">
        <v>0.56349954861111107</v>
      </c>
      <c r="D7" s="4" t="s">
        <v>19</v>
      </c>
      <c r="E7" s="5">
        <v>25</v>
      </c>
      <c r="F7" s="6">
        <f>(100-47.72628378)/100</f>
        <v>0.52273716219999999</v>
      </c>
      <c r="G7" s="7">
        <v>1</v>
      </c>
      <c r="H7" s="7">
        <v>2</v>
      </c>
      <c r="I7" s="7">
        <v>3</v>
      </c>
      <c r="J7" s="7">
        <v>3</v>
      </c>
      <c r="K7" s="7">
        <v>5</v>
      </c>
      <c r="L7" s="7">
        <v>54</v>
      </c>
      <c r="M7" s="8">
        <v>0</v>
      </c>
      <c r="N7" s="9">
        <v>12068.60327</v>
      </c>
      <c r="O7" s="10">
        <v>10.903448279999999</v>
      </c>
      <c r="P7" s="10">
        <v>89.096551719999994</v>
      </c>
      <c r="Q7" s="10">
        <v>4</v>
      </c>
      <c r="R7" s="11">
        <v>98178.156459999998</v>
      </c>
      <c r="S7" s="10">
        <v>17.93197279</v>
      </c>
    </row>
    <row r="8" spans="1:21">
      <c r="A8" s="3">
        <v>0.56553297453703699</v>
      </c>
      <c r="B8" s="3">
        <f t="shared" si="1"/>
        <v>0.56588019675925927</v>
      </c>
      <c r="C8" s="3">
        <v>0.56761633101851849</v>
      </c>
      <c r="D8" s="4" t="s">
        <v>20</v>
      </c>
      <c r="E8" s="5">
        <v>30</v>
      </c>
      <c r="F8" s="6">
        <f>(100-44.29321678)/100</f>
        <v>0.5570678322</v>
      </c>
      <c r="G8" s="7">
        <v>2</v>
      </c>
      <c r="H8" s="7">
        <v>2</v>
      </c>
      <c r="I8" s="7">
        <v>3</v>
      </c>
      <c r="J8" s="7">
        <v>4</v>
      </c>
      <c r="K8" s="7">
        <v>6</v>
      </c>
      <c r="L8" s="7">
        <v>78</v>
      </c>
      <c r="M8" s="8">
        <v>0</v>
      </c>
      <c r="N8" s="9">
        <v>12503.01936</v>
      </c>
      <c r="O8" s="10">
        <v>12.83098592</v>
      </c>
      <c r="P8" s="10">
        <v>104.4225352</v>
      </c>
      <c r="Q8" s="10">
        <v>5</v>
      </c>
      <c r="R8" s="11">
        <v>94855.75172</v>
      </c>
      <c r="S8" s="10">
        <v>21.027586209999999</v>
      </c>
      <c r="U8" s="14"/>
    </row>
    <row r="9" spans="1:21">
      <c r="A9" s="3">
        <v>0.5700391782407408</v>
      </c>
      <c r="B9" s="3">
        <f t="shared" si="1"/>
        <v>0.57038640046296307</v>
      </c>
      <c r="C9" s="3">
        <v>0.57212251157407412</v>
      </c>
      <c r="D9" s="4" t="s">
        <v>21</v>
      </c>
      <c r="E9" s="5">
        <v>40</v>
      </c>
      <c r="F9" s="6">
        <f>(100-38.37)/100</f>
        <v>0.61630000000000007</v>
      </c>
      <c r="G9" s="7">
        <v>2</v>
      </c>
      <c r="H9" s="7">
        <v>3</v>
      </c>
      <c r="I9" s="7">
        <v>4</v>
      </c>
      <c r="J9" s="7">
        <v>5</v>
      </c>
      <c r="K9" s="7">
        <v>7</v>
      </c>
      <c r="L9" s="7">
        <v>64</v>
      </c>
      <c r="M9" s="8">
        <v>0</v>
      </c>
      <c r="N9" s="9">
        <v>13862.91416</v>
      </c>
      <c r="O9" s="10">
        <v>14.2585034</v>
      </c>
      <c r="P9" s="10">
        <v>110.7414966</v>
      </c>
      <c r="Q9" s="10">
        <v>5</v>
      </c>
      <c r="R9" s="11">
        <v>100996.8784</v>
      </c>
      <c r="S9" s="10">
        <v>30.85810811</v>
      </c>
    </row>
    <row r="10" spans="1:21">
      <c r="A10" s="3">
        <v>0.57366248842592593</v>
      </c>
      <c r="B10" s="3">
        <f t="shared" si="1"/>
        <v>0.57400971064814821</v>
      </c>
      <c r="C10" s="3">
        <v>0.5757458333333334</v>
      </c>
      <c r="D10" s="4" t="s">
        <v>22</v>
      </c>
      <c r="E10" s="5">
        <v>50</v>
      </c>
      <c r="F10" s="6">
        <f>(100-34.68478261)/100</f>
        <v>0.65315217390000002</v>
      </c>
      <c r="G10" s="7">
        <v>3</v>
      </c>
      <c r="H10" s="7">
        <v>3</v>
      </c>
      <c r="I10" s="7">
        <v>5</v>
      </c>
      <c r="J10" s="7">
        <v>6</v>
      </c>
      <c r="K10" s="7">
        <v>9</v>
      </c>
      <c r="L10" s="7">
        <v>78</v>
      </c>
      <c r="M10" s="8">
        <v>2.0000000000000002E-5</v>
      </c>
      <c r="N10" s="9">
        <v>13787.288060000001</v>
      </c>
      <c r="O10" s="10">
        <v>17.102941179999998</v>
      </c>
      <c r="P10" s="10">
        <v>107.8970588</v>
      </c>
      <c r="Q10" s="10">
        <v>5</v>
      </c>
      <c r="R10" s="11">
        <v>104172.2681</v>
      </c>
      <c r="S10" s="10">
        <v>35.144927539999998</v>
      </c>
    </row>
    <row r="11" spans="1:21">
      <c r="A11" s="3">
        <v>0.57709468750000004</v>
      </c>
      <c r="B11" s="3">
        <f t="shared" si="1"/>
        <v>0.57744190972222231</v>
      </c>
      <c r="C11" s="3">
        <v>0.57917800925925933</v>
      </c>
      <c r="D11" s="4" t="s">
        <v>23</v>
      </c>
      <c r="E11" s="5">
        <v>60</v>
      </c>
      <c r="F11" s="6">
        <f>(100-31.42316901)/100</f>
        <v>0.68576830990000004</v>
      </c>
      <c r="G11" s="7">
        <v>3</v>
      </c>
      <c r="H11" s="7">
        <v>3</v>
      </c>
      <c r="I11" s="7">
        <v>6</v>
      </c>
      <c r="J11" s="7">
        <v>7</v>
      </c>
      <c r="K11" s="7">
        <v>10</v>
      </c>
      <c r="L11" s="7">
        <v>142</v>
      </c>
      <c r="M11" s="8">
        <v>2.0000000000000002E-5</v>
      </c>
      <c r="N11" s="9">
        <v>15069.720289999999</v>
      </c>
      <c r="O11" s="10">
        <v>20.65</v>
      </c>
      <c r="P11" s="10">
        <v>110.0642857</v>
      </c>
      <c r="Q11" s="10">
        <v>5.2285714289999996</v>
      </c>
      <c r="R11" s="11">
        <v>108101.20419999999</v>
      </c>
      <c r="S11" s="10">
        <v>37.112676059999998</v>
      </c>
    </row>
    <row r="12" spans="1:21">
      <c r="A12" s="3">
        <v>0.58050584490740742</v>
      </c>
      <c r="B12" s="3">
        <f t="shared" si="1"/>
        <v>0.5808530671296297</v>
      </c>
      <c r="C12" s="3">
        <v>0.58258908564814815</v>
      </c>
      <c r="D12" s="4" t="s">
        <v>24</v>
      </c>
      <c r="E12" s="5">
        <v>70</v>
      </c>
      <c r="F12" s="6">
        <f>(100-33.00089041)/100</f>
        <v>0.66999109590000006</v>
      </c>
      <c r="G12" s="7">
        <v>5</v>
      </c>
      <c r="H12" s="7">
        <v>5</v>
      </c>
      <c r="I12" s="7">
        <v>8</v>
      </c>
      <c r="J12" s="7">
        <v>9</v>
      </c>
      <c r="K12" s="7">
        <v>15</v>
      </c>
      <c r="L12" s="7">
        <v>103</v>
      </c>
      <c r="M12" s="8">
        <v>2.0000000000000002E-5</v>
      </c>
      <c r="N12" s="9">
        <v>12685.719520000001</v>
      </c>
      <c r="O12" s="10">
        <v>23.333333329999999</v>
      </c>
      <c r="P12" s="10">
        <v>126.66666669999999</v>
      </c>
      <c r="Q12" s="10">
        <v>6</v>
      </c>
      <c r="R12" s="11">
        <v>83970.421770000001</v>
      </c>
      <c r="S12" s="10">
        <v>37.789115649999999</v>
      </c>
    </row>
    <row r="13" spans="1:21">
      <c r="A13" s="3">
        <v>0.58412622685185189</v>
      </c>
      <c r="B13" s="3">
        <f t="shared" si="1"/>
        <v>0.58447344907407417</v>
      </c>
      <c r="C13" s="3">
        <v>0.58620954861111108</v>
      </c>
      <c r="D13" s="4" t="s">
        <v>25</v>
      </c>
      <c r="E13" s="5">
        <v>80</v>
      </c>
      <c r="F13" s="6">
        <f>(100-30.38681481)/100</f>
        <v>0.69613185189999993</v>
      </c>
      <c r="G13" s="7">
        <v>5</v>
      </c>
      <c r="H13" s="7">
        <v>5</v>
      </c>
      <c r="I13" s="7">
        <v>8</v>
      </c>
      <c r="J13" s="7">
        <v>10</v>
      </c>
      <c r="K13" s="7">
        <v>16</v>
      </c>
      <c r="L13" s="7">
        <v>232</v>
      </c>
      <c r="M13" s="8">
        <v>9.0000000000000006E-5</v>
      </c>
      <c r="N13" s="9">
        <v>13811.82366</v>
      </c>
      <c r="O13" s="10">
        <v>24.940740739999999</v>
      </c>
      <c r="P13" s="10">
        <v>138.57777780000001</v>
      </c>
      <c r="Q13" s="10">
        <v>6.5407407409999996</v>
      </c>
      <c r="R13" s="11">
        <v>97665.695649999994</v>
      </c>
      <c r="S13" s="10">
        <v>40.942028989999997</v>
      </c>
    </row>
    <row r="14" spans="1:21">
      <c r="A14" s="3">
        <v>0.58924484953703704</v>
      </c>
      <c r="B14" s="3">
        <f t="shared" si="1"/>
        <v>0.58959207175925932</v>
      </c>
      <c r="C14" s="3">
        <v>0.59132825231481478</v>
      </c>
      <c r="D14" s="4" t="s">
        <v>26</v>
      </c>
      <c r="E14" s="5">
        <v>100</v>
      </c>
      <c r="F14" s="6">
        <f>(100-30.00167832)/100</f>
        <v>0.69998321680000009</v>
      </c>
      <c r="G14" s="7">
        <v>7</v>
      </c>
      <c r="H14" s="7">
        <v>7</v>
      </c>
      <c r="I14" s="7">
        <v>11</v>
      </c>
      <c r="J14" s="7">
        <v>14</v>
      </c>
      <c r="K14" s="7">
        <v>24</v>
      </c>
      <c r="L14" s="7">
        <v>100</v>
      </c>
      <c r="M14" s="8">
        <v>1.4999999999999999E-4</v>
      </c>
      <c r="N14" s="9">
        <v>12709.22171</v>
      </c>
      <c r="O14" s="10">
        <v>28.872340430000001</v>
      </c>
      <c r="P14" s="10">
        <v>146.12765959999999</v>
      </c>
      <c r="Q14" s="10">
        <v>7</v>
      </c>
      <c r="R14" s="11">
        <v>82559.534719999996</v>
      </c>
      <c r="S14" s="10">
        <v>48.138888889999997</v>
      </c>
    </row>
    <row r="15" spans="1:21">
      <c r="A15" s="3">
        <v>0.59271523148148142</v>
      </c>
      <c r="B15" s="3">
        <f t="shared" si="1"/>
        <v>0.5930624537037037</v>
      </c>
      <c r="C15" s="3">
        <v>0.59479857638888889</v>
      </c>
      <c r="D15" s="4" t="s">
        <v>27</v>
      </c>
      <c r="E15" s="5">
        <v>120</v>
      </c>
      <c r="F15" s="6">
        <f>(100-27.82158621)/100</f>
        <v>0.72178413790000007</v>
      </c>
      <c r="G15" s="7">
        <v>8</v>
      </c>
      <c r="H15" s="7">
        <v>7</v>
      </c>
      <c r="I15" s="7">
        <v>12</v>
      </c>
      <c r="J15" s="7">
        <v>15</v>
      </c>
      <c r="K15" s="7">
        <v>25</v>
      </c>
      <c r="L15" s="7">
        <v>124</v>
      </c>
      <c r="M15" s="8">
        <v>4.6000000000000001E-4</v>
      </c>
      <c r="N15" s="9">
        <v>13926.250179999999</v>
      </c>
      <c r="O15" s="10">
        <v>28.390410960000001</v>
      </c>
      <c r="P15" s="10">
        <v>146.609589</v>
      </c>
      <c r="Q15" s="10">
        <v>7</v>
      </c>
      <c r="R15" s="11">
        <v>87065.469800000006</v>
      </c>
      <c r="S15" s="10">
        <v>48.83221477</v>
      </c>
    </row>
    <row r="16" spans="1:21">
      <c r="A16" s="3">
        <v>0.59617475694444444</v>
      </c>
      <c r="B16" s="3">
        <f t="shared" si="1"/>
        <v>0.59652197916666672</v>
      </c>
      <c r="C16" s="3">
        <v>0.59825815972222218</v>
      </c>
      <c r="D16" s="4" t="s">
        <v>28</v>
      </c>
      <c r="E16" s="5">
        <v>150</v>
      </c>
      <c r="F16" s="6">
        <f>(100-27.57761194)/100</f>
        <v>0.72422388059999998</v>
      </c>
      <c r="G16" s="7">
        <v>10</v>
      </c>
      <c r="H16" s="7">
        <v>9</v>
      </c>
      <c r="I16" s="7">
        <v>15</v>
      </c>
      <c r="J16" s="7">
        <v>18</v>
      </c>
      <c r="K16" s="7">
        <v>32</v>
      </c>
      <c r="L16" s="7">
        <v>169</v>
      </c>
      <c r="M16" s="8">
        <v>9.7000000000000005E-4</v>
      </c>
      <c r="N16" s="9">
        <v>13882.257530000001</v>
      </c>
      <c r="O16" s="10">
        <v>35.007462689999997</v>
      </c>
      <c r="P16" s="10">
        <v>178.7985075</v>
      </c>
      <c r="Q16" s="10">
        <v>8.5522388060000001</v>
      </c>
      <c r="R16" s="11">
        <v>86497.705879999994</v>
      </c>
      <c r="S16" s="10">
        <v>46.610294119999999</v>
      </c>
    </row>
    <row r="17" spans="1:21">
      <c r="A17" s="3">
        <v>0.59947326388888889</v>
      </c>
      <c r="B17" s="3">
        <f t="shared" si="1"/>
        <v>0.59982048611111116</v>
      </c>
      <c r="C17" s="3">
        <v>0.60155664351851845</v>
      </c>
      <c r="D17" s="4" t="s">
        <v>29</v>
      </c>
      <c r="E17" s="5">
        <v>200</v>
      </c>
      <c r="F17" s="6">
        <f>(100-25.90559441)/100</f>
        <v>0.74094405590000012</v>
      </c>
      <c r="G17" s="7">
        <v>13</v>
      </c>
      <c r="H17" s="7">
        <v>13</v>
      </c>
      <c r="I17" s="7">
        <v>19</v>
      </c>
      <c r="J17" s="7">
        <v>24</v>
      </c>
      <c r="K17" s="7">
        <v>41</v>
      </c>
      <c r="L17" s="7">
        <v>181</v>
      </c>
      <c r="M17" s="8">
        <v>2.0699999999999998E-3</v>
      </c>
      <c r="N17" s="9">
        <v>13892.22488</v>
      </c>
      <c r="O17" s="10">
        <v>43.531914890000003</v>
      </c>
      <c r="P17" s="10">
        <v>202.92198579999999</v>
      </c>
      <c r="Q17" s="10">
        <v>9.8581560279999998</v>
      </c>
      <c r="R17" s="11">
        <v>86053.265729999999</v>
      </c>
      <c r="S17" s="10">
        <v>62.804195800000002</v>
      </c>
    </row>
    <row r="18" spans="1:21">
      <c r="A18" s="3">
        <v>0.60304811342592601</v>
      </c>
      <c r="B18" s="3">
        <f t="shared" si="1"/>
        <v>0.60339533564814829</v>
      </c>
      <c r="C18" s="3">
        <v>0.60513262731481487</v>
      </c>
      <c r="D18" s="4" t="s">
        <v>30</v>
      </c>
      <c r="E18" s="5">
        <v>250</v>
      </c>
      <c r="F18" s="6">
        <f>(100-25.20662162)/100</f>
        <v>0.74793378380000008</v>
      </c>
      <c r="G18" s="7">
        <v>16</v>
      </c>
      <c r="H18" s="7">
        <v>15</v>
      </c>
      <c r="I18" s="7">
        <v>22</v>
      </c>
      <c r="J18" s="7">
        <v>27</v>
      </c>
      <c r="K18" s="7">
        <v>44</v>
      </c>
      <c r="L18" s="7">
        <v>180</v>
      </c>
      <c r="M18" s="8">
        <v>6.2700000000000004E-3</v>
      </c>
      <c r="N18" s="9">
        <v>14624.50237</v>
      </c>
      <c r="O18" s="10">
        <v>47.462068969999997</v>
      </c>
      <c r="P18" s="10">
        <v>207.7103448</v>
      </c>
      <c r="Q18" s="10">
        <v>10.24827586</v>
      </c>
      <c r="R18" s="11">
        <v>84443.57432</v>
      </c>
      <c r="S18" s="10">
        <v>61.648648649999998</v>
      </c>
    </row>
    <row r="19" spans="1:21">
      <c r="A19" s="3">
        <v>0.60630084490740732</v>
      </c>
      <c r="B19" s="3">
        <f t="shared" si="1"/>
        <v>0.6066480671296296</v>
      </c>
      <c r="C19" s="3">
        <v>0.60838398148148143</v>
      </c>
      <c r="D19" s="4" t="s">
        <v>31</v>
      </c>
      <c r="E19" s="5">
        <v>300</v>
      </c>
      <c r="F19" s="6">
        <f>(100-24.85141791)/100</f>
        <v>0.75148582090000005</v>
      </c>
      <c r="G19" s="7">
        <v>19</v>
      </c>
      <c r="H19" s="7">
        <v>18</v>
      </c>
      <c r="I19" s="7">
        <v>28</v>
      </c>
      <c r="J19" s="7">
        <v>35</v>
      </c>
      <c r="K19" s="7">
        <v>53</v>
      </c>
      <c r="L19" s="7">
        <v>1053</v>
      </c>
      <c r="M19" s="8">
        <v>2.6540000000000001E-2</v>
      </c>
      <c r="N19" s="9">
        <v>14420.29855</v>
      </c>
      <c r="O19" s="10">
        <v>45.59701493</v>
      </c>
      <c r="P19" s="10">
        <v>210.55970149999999</v>
      </c>
      <c r="Q19" s="10">
        <v>10.29850746</v>
      </c>
      <c r="R19" s="11">
        <v>91732.421050000004</v>
      </c>
      <c r="S19" s="10">
        <v>56.5</v>
      </c>
    </row>
    <row r="20" spans="1:21">
      <c r="A20" s="3">
        <v>0.60943952546296298</v>
      </c>
      <c r="B20" s="3">
        <f t="shared" si="1"/>
        <v>0.60978674768518526</v>
      </c>
      <c r="C20" s="3">
        <v>0.61152287037037034</v>
      </c>
      <c r="D20" s="4" t="s">
        <v>32</v>
      </c>
      <c r="E20" s="5">
        <v>350</v>
      </c>
      <c r="F20" s="6">
        <f>(100-26.57255474)/100</f>
        <v>0.73427445260000002</v>
      </c>
      <c r="G20" s="7">
        <v>24</v>
      </c>
      <c r="H20" s="7">
        <v>22</v>
      </c>
      <c r="I20" s="7">
        <v>39</v>
      </c>
      <c r="J20" s="7">
        <v>47</v>
      </c>
      <c r="K20" s="7">
        <v>68</v>
      </c>
      <c r="L20" s="7">
        <v>1110</v>
      </c>
      <c r="M20" s="8">
        <v>5.6770000000000001E-2</v>
      </c>
      <c r="N20" s="9">
        <v>13614.51785</v>
      </c>
      <c r="O20" s="10">
        <v>38.46323529</v>
      </c>
      <c r="P20" s="10">
        <v>214.29411759999999</v>
      </c>
      <c r="Q20" s="10">
        <v>10.139705879999999</v>
      </c>
      <c r="R20" s="11">
        <v>82913.899279999998</v>
      </c>
      <c r="S20" s="10">
        <v>57.920863310000001</v>
      </c>
    </row>
    <row r="21" spans="1:21">
      <c r="A21" s="3">
        <v>0.6125304050925926</v>
      </c>
      <c r="B21" s="3">
        <f t="shared" si="1"/>
        <v>0.61287762731481488</v>
      </c>
      <c r="C21" s="3">
        <v>0.61461394675925918</v>
      </c>
      <c r="D21" s="4" t="s">
        <v>33</v>
      </c>
      <c r="E21" s="5">
        <v>400</v>
      </c>
      <c r="F21" s="6">
        <f>(100-27.74881944)/100</f>
        <v>0.72251180559999995</v>
      </c>
      <c r="G21" s="7">
        <v>28</v>
      </c>
      <c r="H21" s="7">
        <v>25</v>
      </c>
      <c r="I21" s="7">
        <v>47</v>
      </c>
      <c r="J21" s="7">
        <v>56</v>
      </c>
      <c r="K21" s="7">
        <v>78</v>
      </c>
      <c r="L21" s="7">
        <v>1087</v>
      </c>
      <c r="M21" s="8">
        <v>8.2849999999999993E-2</v>
      </c>
      <c r="N21" s="9">
        <v>13496.645119999999</v>
      </c>
      <c r="O21" s="10">
        <v>40.232394370000002</v>
      </c>
      <c r="P21" s="10">
        <v>216.80985920000001</v>
      </c>
      <c r="Q21" s="10">
        <v>10.38732394</v>
      </c>
      <c r="R21" s="11">
        <v>80243.379310000004</v>
      </c>
      <c r="S21" s="10">
        <v>59.475862069999998</v>
      </c>
    </row>
    <row r="22" spans="1:21">
      <c r="A22" s="3">
        <v>0.61587671296296298</v>
      </c>
      <c r="B22" s="3">
        <f t="shared" si="1"/>
        <v>0.61622393518518526</v>
      </c>
      <c r="C22" s="3">
        <v>0.61779248842592593</v>
      </c>
      <c r="D22" s="4" t="s">
        <v>34</v>
      </c>
      <c r="E22" s="5">
        <v>500</v>
      </c>
      <c r="F22" s="6">
        <f>(100-29.37869231)/100</f>
        <v>0.7062130768999999</v>
      </c>
      <c r="G22" s="7">
        <v>38</v>
      </c>
      <c r="H22" s="7">
        <v>33</v>
      </c>
      <c r="I22" s="7">
        <v>68</v>
      </c>
      <c r="J22" s="7">
        <v>83</v>
      </c>
      <c r="K22" s="7">
        <v>114</v>
      </c>
      <c r="L22" s="7">
        <v>71288</v>
      </c>
      <c r="M22" s="8">
        <v>0.13624</v>
      </c>
      <c r="N22" s="9">
        <v>9414.62601</v>
      </c>
      <c r="O22" s="10">
        <v>45.779527559999998</v>
      </c>
      <c r="P22" s="10">
        <v>220.07086609999999</v>
      </c>
      <c r="Q22" s="10">
        <v>10.81102362</v>
      </c>
      <c r="R22" s="11">
        <v>79306.945739999996</v>
      </c>
      <c r="S22" s="10">
        <v>59.503875970000003</v>
      </c>
    </row>
    <row r="23" spans="1:21">
      <c r="A23" s="3">
        <v>0.61951188657407408</v>
      </c>
      <c r="B23" s="3">
        <f t="shared" si="1"/>
        <v>0.61985910879629635</v>
      </c>
      <c r="C23" s="3">
        <v>0.62159540509259259</v>
      </c>
      <c r="D23" s="4" t="s">
        <v>35</v>
      </c>
      <c r="E23" s="5">
        <v>600</v>
      </c>
      <c r="F23" s="6">
        <f>(100-33.59816176)/100</f>
        <v>0.66401838239999988</v>
      </c>
      <c r="G23" s="7">
        <v>50</v>
      </c>
      <c r="H23" s="7">
        <v>40</v>
      </c>
      <c r="I23" s="7">
        <v>91</v>
      </c>
      <c r="J23" s="7">
        <v>109</v>
      </c>
      <c r="K23" s="7">
        <v>154</v>
      </c>
      <c r="L23" s="7">
        <v>5137</v>
      </c>
      <c r="M23" s="8">
        <v>0.17852999999999999</v>
      </c>
      <c r="N23" s="9">
        <v>11327.934509999999</v>
      </c>
      <c r="O23" s="10">
        <v>50.362962959999997</v>
      </c>
      <c r="P23" s="10">
        <v>209.45185190000001</v>
      </c>
      <c r="Q23" s="10">
        <v>10.56296296</v>
      </c>
      <c r="R23" s="11">
        <v>74377.785189999995</v>
      </c>
      <c r="S23" s="10">
        <v>56.626865670000001</v>
      </c>
    </row>
    <row r="24" spans="1:21">
      <c r="A24" s="3">
        <v>0.62260082175925935</v>
      </c>
      <c r="B24" s="3">
        <f t="shared" si="1"/>
        <v>0.62294804398148163</v>
      </c>
      <c r="C24" s="3">
        <v>0.62458640046296299</v>
      </c>
      <c r="D24" s="4" t="s">
        <v>36</v>
      </c>
      <c r="E24" s="5">
        <v>700</v>
      </c>
      <c r="F24" s="6">
        <f>(100-34.76)/100</f>
        <v>0.65240000000000009</v>
      </c>
      <c r="G24" s="7">
        <v>64</v>
      </c>
      <c r="H24" s="7">
        <v>49</v>
      </c>
      <c r="I24" s="7">
        <v>111</v>
      </c>
      <c r="J24" s="7">
        <v>131</v>
      </c>
      <c r="K24" s="7">
        <v>308</v>
      </c>
      <c r="L24" s="7">
        <v>197099</v>
      </c>
      <c r="M24" s="8">
        <v>0.21532999999999999</v>
      </c>
      <c r="N24" s="9">
        <v>8761.6630999999998</v>
      </c>
      <c r="O24" s="10">
        <v>64.561538459999994</v>
      </c>
      <c r="P24" s="10">
        <v>211.46923079999999</v>
      </c>
      <c r="Q24" s="10">
        <v>11.28461538</v>
      </c>
      <c r="R24" s="11">
        <v>67753.128790000002</v>
      </c>
      <c r="S24" s="10">
        <v>54.810606059999998</v>
      </c>
    </row>
    <row r="25" spans="1:21">
      <c r="A25" s="3">
        <v>0.6264247453703703</v>
      </c>
      <c r="B25" s="3">
        <f t="shared" si="1"/>
        <v>0.62677196759259257</v>
      </c>
      <c r="C25" s="3">
        <v>0.62849307870370374</v>
      </c>
      <c r="D25" s="4" t="s">
        <v>37</v>
      </c>
      <c r="E25" s="5">
        <v>800</v>
      </c>
      <c r="F25" s="6">
        <f>(100-35.25255172)/100</f>
        <v>0.64747448279999997</v>
      </c>
      <c r="G25" s="7">
        <v>74</v>
      </c>
      <c r="H25" s="7">
        <v>52</v>
      </c>
      <c r="I25" s="7">
        <v>119</v>
      </c>
      <c r="J25" s="7">
        <v>147</v>
      </c>
      <c r="K25" s="7">
        <v>808</v>
      </c>
      <c r="L25" s="7">
        <v>8074</v>
      </c>
      <c r="M25" s="8">
        <v>0.21864</v>
      </c>
      <c r="N25" s="9">
        <v>10338.35168</v>
      </c>
      <c r="O25" s="10">
        <v>64.381944439999998</v>
      </c>
      <c r="P25" s="10">
        <v>229.86805559999999</v>
      </c>
      <c r="Q25" s="10">
        <v>12.05555556</v>
      </c>
      <c r="R25" s="11">
        <v>67318.662160000007</v>
      </c>
      <c r="S25" s="10">
        <v>46.932432429999999</v>
      </c>
    </row>
    <row r="26" spans="1:21">
      <c r="A26" s="3">
        <v>0.62949842592592586</v>
      </c>
      <c r="B26" s="3">
        <f t="shared" si="1"/>
        <v>0.62984564814814814</v>
      </c>
      <c r="C26" s="3">
        <v>0.63156524305555561</v>
      </c>
      <c r="D26" s="4" t="s">
        <v>38</v>
      </c>
      <c r="E26" s="5">
        <v>900</v>
      </c>
      <c r="F26" s="6">
        <f>(100-34.77352941)/100</f>
        <v>0.65226470589999996</v>
      </c>
      <c r="G26" s="7">
        <v>83</v>
      </c>
      <c r="H26" s="7">
        <v>54</v>
      </c>
      <c r="I26" s="7">
        <v>130</v>
      </c>
      <c r="J26" s="7">
        <v>169</v>
      </c>
      <c r="K26" s="7">
        <v>1095</v>
      </c>
      <c r="L26" s="7">
        <v>5841</v>
      </c>
      <c r="M26" s="8">
        <v>0.22370000000000001</v>
      </c>
      <c r="N26" s="9">
        <v>10297.707609999999</v>
      </c>
      <c r="O26" s="10">
        <v>72.305970149999993</v>
      </c>
      <c r="P26" s="10">
        <v>226.01492540000001</v>
      </c>
      <c r="Q26" s="10">
        <v>12.313432840000001</v>
      </c>
      <c r="R26" s="11">
        <v>72455.162960000001</v>
      </c>
      <c r="S26" s="10">
        <v>58.977611940000003</v>
      </c>
    </row>
    <row r="27" spans="1:21">
      <c r="A27" s="3">
        <v>0.63238414351851846</v>
      </c>
      <c r="B27" s="3">
        <f t="shared" si="1"/>
        <v>0.63273136574074074</v>
      </c>
      <c r="C27" s="3">
        <v>0.63420030092592594</v>
      </c>
      <c r="D27" s="4" t="s">
        <v>39</v>
      </c>
      <c r="E27" s="5">
        <v>1000</v>
      </c>
      <c r="F27" s="6">
        <f>(100-34.78264463)/100</f>
        <v>0.65217355370000007</v>
      </c>
      <c r="G27" s="7">
        <v>97</v>
      </c>
      <c r="H27" s="7">
        <v>58</v>
      </c>
      <c r="I27" s="7">
        <v>144</v>
      </c>
      <c r="J27" s="7">
        <v>227</v>
      </c>
      <c r="K27" s="7">
        <v>1128</v>
      </c>
      <c r="L27" s="7">
        <v>159366</v>
      </c>
      <c r="M27" s="8">
        <v>0.23194999999999999</v>
      </c>
      <c r="N27" s="9">
        <v>9337.3536999999997</v>
      </c>
      <c r="O27" s="10">
        <v>72.652542370000006</v>
      </c>
      <c r="P27" s="10">
        <v>234.33898310000001</v>
      </c>
      <c r="Q27" s="10">
        <v>12.627118640000001</v>
      </c>
      <c r="R27" s="11">
        <v>69573.908330000006</v>
      </c>
      <c r="S27" s="10">
        <v>57.333333330000002</v>
      </c>
    </row>
    <row r="29" spans="1:21">
      <c r="E29" s="15"/>
      <c r="F29" s="15"/>
      <c r="G29" s="15"/>
      <c r="J29" s="15"/>
      <c r="K29" s="15"/>
      <c r="L29" s="15"/>
      <c r="M29" s="15"/>
      <c r="N29" s="15"/>
      <c r="O29" s="15"/>
      <c r="P29" s="15"/>
      <c r="Q29" s="15"/>
      <c r="S29" s="15"/>
      <c r="T29" s="15"/>
      <c r="U29" s="15"/>
    </row>
    <row r="30" spans="1:21">
      <c r="E30" s="16"/>
      <c r="F30" s="16"/>
      <c r="G30" s="16"/>
      <c r="J30" s="16"/>
      <c r="K30" s="16"/>
      <c r="L30" s="16"/>
      <c r="M30" s="16"/>
      <c r="N30" s="16"/>
      <c r="O30" s="16"/>
      <c r="P30" s="16"/>
      <c r="Q30" s="16"/>
      <c r="S30" s="16"/>
      <c r="T30" s="16"/>
      <c r="U30" s="16"/>
    </row>
    <row r="31" spans="1:21">
      <c r="E31" s="16"/>
      <c r="F31" s="16"/>
      <c r="G31" s="16"/>
      <c r="J31" s="16"/>
      <c r="K31" s="16"/>
      <c r="L31" s="16"/>
      <c r="M31" s="16"/>
      <c r="N31" s="16"/>
      <c r="O31" s="16"/>
      <c r="P31" s="16"/>
      <c r="Q31" s="16"/>
      <c r="S31" s="16"/>
      <c r="T31" s="16"/>
      <c r="U31" s="16"/>
    </row>
    <row r="32" spans="1:21">
      <c r="E32" s="16"/>
      <c r="F32" s="16"/>
      <c r="G32" s="16"/>
      <c r="J32" s="16"/>
      <c r="K32" s="16"/>
      <c r="L32" s="16"/>
      <c r="M32" s="16"/>
      <c r="N32" s="16"/>
      <c r="O32" s="16"/>
      <c r="P32" s="16"/>
      <c r="Q32" s="16"/>
      <c r="S32" s="16"/>
      <c r="T32" s="16"/>
      <c r="U32" s="16"/>
    </row>
    <row r="33" spans="2:24">
      <c r="E33" s="16"/>
      <c r="F33" s="16"/>
      <c r="G33" s="16"/>
      <c r="J33" s="16"/>
      <c r="K33" s="16"/>
      <c r="L33" s="16"/>
      <c r="M33" s="16"/>
      <c r="N33" s="16"/>
      <c r="O33" s="16"/>
      <c r="P33" s="16"/>
      <c r="Q33" s="16"/>
      <c r="S33" s="16"/>
      <c r="T33" s="16"/>
      <c r="U33" s="16"/>
    </row>
    <row r="34" spans="2:24">
      <c r="B34" s="5"/>
    </row>
    <row r="38" spans="2:24">
      <c r="D38" s="16"/>
      <c r="E38" s="16"/>
      <c r="F38" s="16"/>
      <c r="G38" s="16"/>
      <c r="J38" s="16"/>
      <c r="K38" s="16"/>
      <c r="L38" s="16"/>
      <c r="M38" s="16"/>
      <c r="N38" s="16"/>
      <c r="O38" s="16"/>
      <c r="P38" s="16"/>
      <c r="Q38" s="16"/>
      <c r="S38" s="16"/>
      <c r="T38" s="16"/>
      <c r="U38" s="16"/>
      <c r="V38" s="16"/>
      <c r="W38" s="16"/>
      <c r="X38" s="16"/>
    </row>
  </sheetData>
  <phoneticPr fontId="3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2026-08-01T16:47:52Z</dcterms:modified>
</cp:coreProperties>
</file>